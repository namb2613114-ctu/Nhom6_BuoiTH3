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_ntcns_d13\Buoi3\"/>
    </mc:Choice>
  </mc:AlternateContent>
  <xr:revisionPtr revIDLastSave="0" documentId="13_ncr:1_{CA22CC49-187A-47FA-AF09-81CE49089CFF}" xr6:coauthVersionLast="47" xr6:coauthVersionMax="47" xr10:uidLastSave="{00000000-0000-0000-0000-000000000000}"/>
  <bookViews>
    <workbookView xWindow="-108" yWindow="-108" windowWidth="23256" windowHeight="12456" xr2:uid="{927889D9-4777-439D-A4C8-425AE2CDCB48}"/>
  </bookViews>
  <sheets>
    <sheet name="Tổng hợp điểm " sheetId="1" r:id="rId1"/>
    <sheet name="Điểm thực hành các buổi" sheetId="4" r:id="rId2"/>
    <sheet name="Điểm bài tập lớn" sheetId="8" r:id="rId3"/>
    <sheet name="Điểm lý thuyết" sheetId="7" r:id="rId4"/>
    <sheet name="Các bảng tham chiếu&amp;Thống kê" sheetId="10" r:id="rId5"/>
    <sheet name="Sinh viên điểm &lt;7" sheetId="14" r:id="rId6"/>
    <sheet name="Sinh viên điểm &gt;=7" sheetId="15" r:id="rId7"/>
  </sheets>
  <definedNames>
    <definedName name="_xlnm.Extract" localSheetId="5">'Sinh viên điểm &lt;7'!$A$1:$K$1</definedName>
    <definedName name="_xlnm.Extract" localSheetId="6">'Sinh viên điểm &gt;=7'!$A$1:$K$1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0" l="1" a="1"/>
  <c r="F27" i="10" s="1"/>
  <c r="F24" i="10"/>
  <c r="F15" i="10"/>
  <c r="F16" i="10"/>
  <c r="F17" i="10"/>
  <c r="F18" i="10"/>
  <c r="F19" i="10"/>
  <c r="F20" i="10"/>
  <c r="F21" i="10"/>
  <c r="F14" i="10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7" i="1"/>
  <c r="C8" i="1"/>
  <c r="G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I7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<sst xmlns="http://schemas.openxmlformats.org/spreadsheetml/2006/main" count="264" uniqueCount="88">
  <si>
    <t>ĐIỂM THI HK1-2018-2019 (CT428)</t>
  </si>
  <si>
    <t xml:space="preserve"> Ma CB</t>
  </si>
  <si>
    <t xml:space="preserve"> Ma MH</t>
  </si>
  <si>
    <t xml:space="preserve"> Nam hoc</t>
  </si>
  <si>
    <t>CT428</t>
  </si>
  <si>
    <t>2020-2021</t>
  </si>
  <si>
    <t xml:space="preserve">Ho va ten </t>
  </si>
  <si>
    <t>Ma NH</t>
  </si>
  <si>
    <t>Hoc ky</t>
  </si>
  <si>
    <t xml:space="preserve">Nguyen Minh Trung </t>
  </si>
  <si>
    <t>STT</t>
  </si>
  <si>
    <t>Mã SV</t>
  </si>
  <si>
    <t>Họ và Tên</t>
  </si>
  <si>
    <t>Điểm TH 1</t>
  </si>
  <si>
    <t>Điểm TH 2</t>
  </si>
  <si>
    <t>Điểm TH 3</t>
  </si>
  <si>
    <t>Điểm  BT lớn</t>
  </si>
  <si>
    <t>Điểm LT</t>
  </si>
  <si>
    <t>Điểm tổng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</si>
  <si>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</si>
  <si>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</si>
  <si>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</si>
  <si>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</si>
  <si>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</si>
  <si>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</si>
  <si>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</si>
  <si>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</si>
  <si>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</si>
  <si>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</si>
  <si>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</si>
  <si>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</si>
  <si>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</si>
  <si>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</si>
  <si>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</si>
  <si>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Họ và tên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</si>
  <si>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</si>
  <si>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</si>
  <si>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</si>
  <si>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</si>
  <si>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</si>
  <si>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</si>
  <si>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</si>
  <si>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</si>
  <si>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</si>
  <si>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</si>
  <si>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</si>
  <si>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</si>
  <si>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</si>
  <si>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</si>
  <si>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</si>
  <si>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</si>
  <si>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</si>
  <si>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</si>
  <si>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</si>
  <si>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</si>
  <si>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</si>
  <si>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</si>
  <si>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</si>
  <si>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</si>
  <si>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</si>
  <si>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</si>
  <si>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</si>
  <si>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</si>
  <si>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thực hành các buổi</t>
  </si>
  <si>
    <t>Điểm lý thuyết</t>
  </si>
  <si>
    <t>Trần Thanh Nguyen</t>
  </si>
  <si>
    <t>Điểm BL lớn</t>
  </si>
  <si>
    <t xml:space="preserve">Điểm bài tập lớn </t>
  </si>
  <si>
    <t>Điểm theo thang điểm 10</t>
  </si>
  <si>
    <t>Điểm theo thang điểm 4</t>
  </si>
  <si>
    <t>Số buổi vắng</t>
  </si>
  <si>
    <t>Điểm CT</t>
  </si>
  <si>
    <t>F</t>
  </si>
  <si>
    <t/>
  </si>
  <si>
    <t>D</t>
  </si>
  <si>
    <t>D+</t>
  </si>
  <si>
    <t>C</t>
  </si>
  <si>
    <t>C+</t>
  </si>
  <si>
    <t>B</t>
  </si>
  <si>
    <t>B+</t>
  </si>
  <si>
    <t>A</t>
  </si>
  <si>
    <t>Bảng quy đổi điểm</t>
  </si>
  <si>
    <t>Bảng Điểm Chuyên cần</t>
  </si>
  <si>
    <t>Bảng thống kê SV</t>
  </si>
  <si>
    <t>Số lượng sinh viên</t>
  </si>
  <si>
    <t>Danh sách Sinh viên</t>
  </si>
  <si>
    <t>Số sinh viên điểm BT  lớn = 0  hoặc điểm LT = -3</t>
  </si>
  <si>
    <t>Số  SV nghỉ TH &gt;2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</si>
</sst>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3" tint="9.9978637043366805E-2"/>
      <name val="Times New Roman"/>
      <family val="1"/>
    </font>
    <font>
      <b/>
      <sz val="11"/>
      <color theme="0"/>
      <name val="Aptos Narrow"/>
      <family val="2"/>
      <scheme val="minor"/>
    </font>
    <font>
      <b/>
      <sz val="11"/>
      <color theme="4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/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8" fillId="6" borderId="1" xfId="0" applyFont="1" applyFill="1" applyBorder="1" applyAlignment="1">
      <alignment horizontal="center" vertical="center"/>
    </xf>
    <xf numFmtId="0" fontId="7" fillId="0" borderId="0" xfId="0" applyFont="1"/>
    <xf numFmtId="0" fontId="1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</a:t>
            </a:r>
            <a:r>
              <a:rPr lang="en-US" baseline="0"/>
              <a:t> kê tổng số lượng Sinh viên theo điểm chữ 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'Các bảng tham chiếu&amp;Thống kê'!$F$13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chiếu&amp;Thống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chiếu&amp;Thống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5-4A95-91E6-15EEA3C06C9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11</xdr:row>
      <xdr:rowOff>171450</xdr:rowOff>
    </xdr:from>
    <xdr:to>
      <xdr:col>15</xdr:col>
      <xdr:colOff>327660</xdr:colOff>
      <xdr:row>25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2EDDA-3D9A-2E26-7A3D-7D4EE4EF7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021B-0EF7-42FA-9A5A-3C3FE6D44345}">
  <dimension ref="A1:L24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N8" sqref="N8"/>
    </sheetView>
  </sheetViews>
  <sheetFormatPr defaultRowHeight="14.4" x14ac:dyDescent="0.3"/>
  <cols>
    <col min="1" max="1" width="5.6640625" style="3" customWidth="1"/>
    <col min="2" max="2" width="11.33203125" style="1" customWidth="1"/>
    <col min="3" max="3" width="19" style="1" customWidth="1"/>
    <col min="4" max="4" width="7.44140625" style="1" customWidth="1"/>
    <col min="5" max="5" width="7.21875" style="1" customWidth="1"/>
    <col min="6" max="6" width="6.6640625" style="1" customWidth="1"/>
    <col min="7" max="7" width="6.109375" style="1" customWidth="1"/>
    <col min="8" max="8" width="6.6640625" style="1" customWidth="1"/>
    <col min="9" max="9" width="8.88671875" style="6"/>
    <col min="10" max="10" width="7.33203125" style="6" customWidth="1"/>
    <col min="11" max="11" width="8.33203125" style="6" customWidth="1"/>
  </cols>
  <sheetData>
    <row r="1" spans="1:12" x14ac:dyDescent="0.3">
      <c r="B1" s="35" t="s">
        <v>0</v>
      </c>
      <c r="C1" s="35"/>
      <c r="D1" s="35"/>
      <c r="E1" s="35"/>
      <c r="F1" s="35"/>
      <c r="G1" s="35"/>
      <c r="H1" s="35"/>
      <c r="L1" s="2"/>
    </row>
    <row r="2" spans="1:12" x14ac:dyDescent="0.3">
      <c r="B2" s="3" t="s">
        <v>1</v>
      </c>
      <c r="C2" s="5">
        <v>1043</v>
      </c>
      <c r="D2" s="36" t="s">
        <v>6</v>
      </c>
      <c r="E2" s="37"/>
      <c r="F2" s="38" t="s">
        <v>9</v>
      </c>
      <c r="G2" s="39"/>
      <c r="H2" s="39"/>
      <c r="I2" s="40"/>
    </row>
    <row r="3" spans="1:12" x14ac:dyDescent="0.3">
      <c r="B3" s="3" t="s">
        <v>2</v>
      </c>
      <c r="C3" s="3" t="s">
        <v>4</v>
      </c>
      <c r="D3" s="36" t="s">
        <v>7</v>
      </c>
      <c r="E3" s="37"/>
      <c r="F3" s="36">
        <v>8</v>
      </c>
      <c r="G3" s="41"/>
      <c r="H3" s="37"/>
    </row>
    <row r="4" spans="1:12" x14ac:dyDescent="0.3">
      <c r="B4" s="3" t="s">
        <v>3</v>
      </c>
      <c r="C4" s="3" t="s">
        <v>5</v>
      </c>
      <c r="D4" s="36" t="s">
        <v>8</v>
      </c>
      <c r="E4" s="37"/>
      <c r="F4" s="36">
        <v>1</v>
      </c>
      <c r="G4" s="41"/>
      <c r="H4" s="37"/>
    </row>
    <row r="5" spans="1:12" ht="13.2" customHeight="1" x14ac:dyDescent="0.3">
      <c r="B5" s="3"/>
      <c r="C5" s="3"/>
      <c r="D5" s="3"/>
      <c r="E5" s="3"/>
      <c r="F5" s="3"/>
      <c r="G5" s="3"/>
      <c r="H5" s="3"/>
    </row>
    <row r="6" spans="1:12" ht="75.599999999999994" customHeight="1" x14ac:dyDescent="0.3">
      <c r="A6" s="7" t="s">
        <v>10</v>
      </c>
      <c r="B6" s="8" t="s">
        <v>11</v>
      </c>
      <c r="C6" s="8" t="s">
        <v>12</v>
      </c>
      <c r="D6" s="9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68</v>
      </c>
      <c r="K6" s="9" t="s">
        <v>19</v>
      </c>
      <c r="L6" s="49"/>
    </row>
    <row r="7" spans="1:12" x14ac:dyDescent="0.3">
      <c r="A7" s="4">
        <v>1</v>
      </c>
      <c r="B7" s="3" t="s">
        <v>20</v>
      </c>
      <c r="C7" s="3" t="str">
        <f>_xlfn.XLOOKUP(MID(B7, 2, 20), 'Các bảng tham chiếu&amp;Thống kê'!B:B, 'Các bảng tham chiếu&amp;Thống kê'!C:C, "none")</f>
        <v>Nguyễn Văn Hiếu</v>
      </c>
      <c r="D7" s="3">
        <f>_xlfn.XLOOKUP(MID(B7, 2, 20), 'Điểm thực hành các buổi'!B:B, 'Điểm thực hành các buổi'!D:D, "none")</f>
        <v>0.45</v>
      </c>
      <c r="E7" s="3">
        <f>_xlfn.XLOOKUP(MID(B7, 2, 20), 'Điểm thực hành các buổi'!B:B, 'Điểm thực hành các buổi'!E:E, "none")</f>
        <v>0.25</v>
      </c>
      <c r="F7" s="3">
        <f>_xlfn.XLOOKUP(MID(B7, 2, 20), 'Điểm thực hành các buổi'!B:B, 'Điểm thực hành các buổi'!F:F, "none")</f>
        <v>0.3</v>
      </c>
      <c r="G7" s="3">
        <f>_xlfn.XLOOKUP(MID(B7, 2, 20), 'Điểm bài tập lớn'!B:B,'Điểm bài tập lớn'!D:D, "none")</f>
        <v>0.5</v>
      </c>
      <c r="H7" s="3">
        <f>_xlfn.XLOOKUP(MID(B7, 2, 20), 'Điểm lý thuyết'!B:B,'Điểm lý thuyết'!D:D, "none")</f>
        <v>4.2</v>
      </c>
      <c r="I7" s="6">
        <f>ROUND(IF(H7=-3, 0, D7+E7+F7+G7+0.6*H7), 1)</f>
        <v>4</v>
      </c>
      <c r="J7" s="10">
        <f>ROUND(IF(OR(G7=0,VALUE(LEFT(B7,1))&gt;2),0,I7+VLOOKUP(VALUE(LEFT(B7,1)),'Các bảng tham chiếu&amp;Thống kê'!$E$3:$F$5,2,0)),1)</f>
        <v>5</v>
      </c>
      <c r="K7" s="10" t="str">
        <f>VLOOKUP('Tổng hợp điểm '!J7,'Các bảng tham chiếu&amp;Thống kê'!$A$3:$C$10,2,1)</f>
        <v>D+</v>
      </c>
    </row>
    <row r="8" spans="1:12" x14ac:dyDescent="0.3">
      <c r="A8" s="4">
        <v>2</v>
      </c>
      <c r="B8" s="3" t="s">
        <v>21</v>
      </c>
      <c r="C8" s="3" t="str">
        <f>_xlfn.XLOOKUP(MID(B8, 2, 20), 'Các bảng tham chiếu&amp;Thống kê'!B:B, 'Các bảng tham chiếu&amp;Thống kê'!C:C, "none")</f>
        <v>Lý Minh Trí</v>
      </c>
      <c r="D8" s="3">
        <f>_xlfn.XLOOKUP(MID(B8, 2, 20), 'Điểm thực hành các buổi'!B:B, 'Điểm thực hành các buổi'!D:D, "none")</f>
        <v>0.5</v>
      </c>
      <c r="E8" s="3">
        <f>_xlfn.XLOOKUP(MID(B8, 2, 20), 'Điểm thực hành các buổi'!B:B, 'Điểm thực hành các buổi'!E:E, "none")</f>
        <v>0.35</v>
      </c>
      <c r="F8" s="3">
        <f>_xlfn.XLOOKUP(MID(B8, 2, 20), 'Điểm thực hành các buổi'!B:B, 'Điểm thực hành các buổi'!F:F, "none")</f>
        <v>0.4</v>
      </c>
      <c r="G8" s="3">
        <f>_xlfn.XLOOKUP(MID(B8, 2, 20), 'Điểm bài tập lớn'!B:B,'Điểm bài tập lớn'!D:D, "none")</f>
        <v>1</v>
      </c>
      <c r="H8" s="3">
        <f>_xlfn.XLOOKUP(MID(B8, 2, 20), 'Điểm lý thuyết'!B:B,'Điểm lý thuyết'!D:D, "none")</f>
        <v>5.8</v>
      </c>
      <c r="I8" s="6">
        <f t="shared" ref="I8:I20" si="0">ROUND(IF(H8=-3, 0, D8+E8+F8+G8+0.6*H8), 1)</f>
        <v>5.7</v>
      </c>
      <c r="J8" s="10">
        <f>ROUND(IF(OR(G8=0,VALUE(LEFT(B8,1))&gt;2),0,I8+VLOOKUP(VALUE(LEFT(B8,1)),'Các bảng tham chiếu&amp;Thống kê'!$E$3:$F$5,2,0)),1)</f>
        <v>6.2</v>
      </c>
      <c r="K8" s="10" t="str">
        <f>VLOOKUP('Tổng hợp điểm '!J8,'Các bảng tham chiếu&amp;Thống kê'!$A$3:$C$10,2,1)</f>
        <v>C</v>
      </c>
    </row>
    <row r="9" spans="1:12" x14ac:dyDescent="0.3">
      <c r="A9" s="4">
        <v>3</v>
      </c>
      <c r="B9" s="3" t="s">
        <v>22</v>
      </c>
      <c r="C9" s="3" t="str">
        <f>_xlfn.XLOOKUP(MID(B9, 2, 20), 'Các bảng tham chiếu&amp;Thống kê'!B:B, 'Các bảng tham chiếu&amp;Thống kê'!C:C, "none")</f>
        <v>Nguyễn Kiều Mi</v>
      </c>
      <c r="D9" s="3">
        <f>_xlfn.XLOOKUP(MID(B9, 2, 20), 'Điểm thực hành các buổi'!B:B, 'Điểm thực hành các buổi'!D:D, "none")</f>
        <v>0.25</v>
      </c>
      <c r="E9" s="3">
        <f>_xlfn.XLOOKUP(MID(B9, 2, 20), 'Điểm thực hành các buổi'!B:B, 'Điểm thực hành các buổi'!E:E, "none")</f>
        <v>0.25</v>
      </c>
      <c r="F9" s="3">
        <f>_xlfn.XLOOKUP(MID(B9, 2, 20), 'Điểm thực hành các buổi'!B:B, 'Điểm thực hành các buổi'!F:F, "none")</f>
        <v>0.3</v>
      </c>
      <c r="G9" s="3">
        <f>_xlfn.XLOOKUP(MID(B9, 2, 20), 'Điểm bài tập lớn'!B:B,'Điểm bài tập lớn'!D:D, "none")</f>
        <v>0.5</v>
      </c>
      <c r="H9" s="3">
        <f>_xlfn.XLOOKUP(MID(B9, 2, 20), 'Điểm lý thuyết'!B:B,'Điểm lý thuyết'!D:D, "none")</f>
        <v>5.8</v>
      </c>
      <c r="I9" s="6">
        <f t="shared" si="0"/>
        <v>4.8</v>
      </c>
      <c r="J9" s="10">
        <f>ROUND(IF(OR(G9=0,VALUE(LEFT(B9,1))&gt;2),0,I9+VLOOKUP(VALUE(LEFT(B9,1)),'Các bảng tham chiếu&amp;Thống kê'!$E$3:$F$5,2,0)),1)</f>
        <v>5.8</v>
      </c>
      <c r="K9" s="10" t="str">
        <f>VLOOKUP('Tổng hợp điểm '!J9,'Các bảng tham chiếu&amp;Thống kê'!$A$3:$C$10,2,1)</f>
        <v>C</v>
      </c>
    </row>
    <row r="10" spans="1:12" x14ac:dyDescent="0.3">
      <c r="A10" s="4">
        <v>4</v>
      </c>
      <c r="B10" s="3" t="s">
        <v>23</v>
      </c>
      <c r="C10" s="3" t="str">
        <f>_xlfn.XLOOKUP(MID(B10, 2, 20), 'Các bảng tham chiếu&amp;Thống kê'!B:B, 'Các bảng tham chiếu&amp;Thống kê'!C:C, "none")</f>
        <v>Đặng Duy Linh</v>
      </c>
      <c r="D10" s="3">
        <f>_xlfn.XLOOKUP(MID(B10, 2, 20), 'Điểm thực hành các buổi'!B:B, 'Điểm thực hành các buổi'!D:D, "none")</f>
        <v>0.4</v>
      </c>
      <c r="E10" s="3">
        <f>_xlfn.XLOOKUP(MID(B10, 2, 20), 'Điểm thực hành các buổi'!B:B, 'Điểm thực hành các buổi'!E:E, "none")</f>
        <v>0.25</v>
      </c>
      <c r="F10" s="3">
        <f>_xlfn.XLOOKUP(MID(B10, 2, 20), 'Điểm thực hành các buổi'!B:B, 'Điểm thực hành các buổi'!F:F, "none")</f>
        <v>0.35</v>
      </c>
      <c r="G10" s="3">
        <f>_xlfn.XLOOKUP(MID(B10, 2, 20), 'Điểm bài tập lớn'!B:B,'Điểm bài tập lớn'!D:D, "none")</f>
        <v>1</v>
      </c>
      <c r="H10" s="3">
        <f>_xlfn.XLOOKUP(MID(B10, 2, 20), 'Điểm lý thuyết'!B:B,'Điểm lý thuyết'!D:D, "none")</f>
        <v>4.5</v>
      </c>
      <c r="I10" s="6">
        <f t="shared" si="0"/>
        <v>4.7</v>
      </c>
      <c r="J10" s="10">
        <f>ROUND(IF(OR(G10=0,VALUE(LEFT(B10,1))&gt;2),0,I10+VLOOKUP(VALUE(LEFT(B10,1)),'Các bảng tham chiếu&amp;Thống kê'!$E$3:$F$5,2,0)),1)</f>
        <v>5.7</v>
      </c>
      <c r="K10" s="10" t="str">
        <f>VLOOKUP('Tổng hợp điểm '!J10,'Các bảng tham chiếu&amp;Thống kê'!$A$3:$C$10,2,1)</f>
        <v>C</v>
      </c>
    </row>
    <row r="11" spans="1:12" x14ac:dyDescent="0.3">
      <c r="A11" s="4">
        <v>5</v>
      </c>
      <c r="B11" s="3" t="s">
        <v>24</v>
      </c>
      <c r="C11" s="3" t="str">
        <f>_xlfn.XLOOKUP(MID(B11, 2, 20), 'Các bảng tham chiếu&amp;Thống kê'!B:B, 'Các bảng tham chiếu&amp;Thống kê'!C:C, "none")</f>
        <v>Lê Thị Trúc Linh</v>
      </c>
      <c r="D11" s="3">
        <f>_xlfn.XLOOKUP(MID(B11, 2, 20), 'Điểm thực hành các buổi'!B:B, 'Điểm thực hành các buổi'!D:D, "none")</f>
        <v>0.45</v>
      </c>
      <c r="E11" s="3">
        <f>_xlfn.XLOOKUP(MID(B11, 2, 20), 'Điểm thực hành các buổi'!B:B, 'Điểm thực hành các buổi'!E:E, "none")</f>
        <v>0.4</v>
      </c>
      <c r="F11" s="3">
        <f>_xlfn.XLOOKUP(MID(B11, 2, 20), 'Điểm thực hành các buổi'!B:B, 'Điểm thực hành các buổi'!F:F, "none")</f>
        <v>0.35</v>
      </c>
      <c r="G11" s="3">
        <f>_xlfn.XLOOKUP(MID(B11, 2, 20), 'Điểm bài tập lớn'!B:B,'Điểm bài tập lớn'!D:D, "none")</f>
        <v>0.75</v>
      </c>
      <c r="H11" s="3">
        <f>_xlfn.XLOOKUP(MID(B11, 2, 20), 'Điểm lý thuyết'!B:B,'Điểm lý thuyết'!D:D, "none")</f>
        <v>5.5</v>
      </c>
      <c r="I11" s="6">
        <f t="shared" si="0"/>
        <v>5.3</v>
      </c>
      <c r="J11" s="10">
        <f>ROUND(IF(OR(G11=0,VALUE(LEFT(B11,1))&gt;2),0,I11+VLOOKUP(VALUE(LEFT(B11,1)),'Các bảng tham chiếu&amp;Thống kê'!$E$3:$F$5,2,0)),1)</f>
        <v>5.6</v>
      </c>
      <c r="K11" s="10" t="str">
        <f>VLOOKUP('Tổng hợp điểm '!J11,'Các bảng tham chiếu&amp;Thống kê'!$A$3:$C$10,2,1)</f>
        <v>C</v>
      </c>
    </row>
    <row r="12" spans="1:12" x14ac:dyDescent="0.3">
      <c r="A12" s="4">
        <v>6</v>
      </c>
      <c r="B12" s="3" t="s">
        <v>25</v>
      </c>
      <c r="C12" s="3" t="str">
        <f>_xlfn.XLOOKUP(MID(B12, 2, 20), 'Các bảng tham chiếu&amp;Thống kê'!B:B, 'Các bảng tham chiếu&amp;Thống kê'!C:C, "none")</f>
        <v>Phạm Thị Huỳnh</v>
      </c>
      <c r="D12" s="3">
        <f>_xlfn.XLOOKUP(MID(B12, 2, 20), 'Điểm thực hành các buổi'!B:B, 'Điểm thực hành các buổi'!D:D, "none")</f>
        <v>0.4</v>
      </c>
      <c r="E12" s="3">
        <f>_xlfn.XLOOKUP(MID(B12, 2, 20), 'Điểm thực hành các buổi'!B:B, 'Điểm thực hành các buổi'!E:E, "none")</f>
        <v>0.45</v>
      </c>
      <c r="F12" s="3">
        <f>_xlfn.XLOOKUP(MID(B12, 2, 20), 'Điểm thực hành các buổi'!B:B, 'Điểm thực hành các buổi'!F:F, "none")</f>
        <v>0.5</v>
      </c>
      <c r="G12" s="3">
        <f>_xlfn.XLOOKUP(MID(B12, 2, 20), 'Điểm bài tập lớn'!B:B,'Điểm bài tập lớn'!D:D, "none")</f>
        <v>1.2</v>
      </c>
      <c r="H12" s="3">
        <f>_xlfn.XLOOKUP(MID(B12, 2, 20), 'Điểm lý thuyết'!B:B,'Điểm lý thuyết'!D:D, "none")</f>
        <v>7.5</v>
      </c>
      <c r="I12" s="6">
        <f t="shared" si="0"/>
        <v>7.1</v>
      </c>
      <c r="J12" s="10">
        <f>ROUND(IF(OR(G12=0,VALUE(LEFT(B12,1))&gt;2),0,I12+VLOOKUP(VALUE(LEFT(B12,1)),'Các bảng tham chiếu&amp;Thống kê'!$E$3:$F$5,2,0)),1)</f>
        <v>8.1</v>
      </c>
      <c r="K12" s="10" t="str">
        <f>VLOOKUP('Tổng hợp điểm '!J12,'Các bảng tham chiếu&amp;Thống kê'!$A$3:$C$10,2,1)</f>
        <v>B+</v>
      </c>
    </row>
    <row r="13" spans="1:12" x14ac:dyDescent="0.3">
      <c r="A13" s="4">
        <v>7</v>
      </c>
      <c r="B13" s="3" t="s">
        <v>26</v>
      </c>
      <c r="C13" s="3" t="str">
        <f>_xlfn.XLOOKUP(MID(B13, 2, 20), 'Các bảng tham chiếu&amp;Thống kê'!B:B, 'Các bảng tham chiếu&amp;Thống kê'!C:C, "none")</f>
        <v>Lê Minh Thông</v>
      </c>
      <c r="D13" s="3">
        <f>_xlfn.XLOOKUP(MID(B13, 2, 20), 'Điểm thực hành các buổi'!B:B, 'Điểm thực hành các buổi'!D:D, "none")</f>
        <v>0.4</v>
      </c>
      <c r="E13" s="3">
        <f>_xlfn.XLOOKUP(MID(B13, 2, 20), 'Điểm thực hành các buổi'!B:B, 'Điểm thực hành các buổi'!E:E, "none")</f>
        <v>0.4</v>
      </c>
      <c r="F13" s="3">
        <f>_xlfn.XLOOKUP(MID(B13, 2, 20), 'Điểm thực hành các buổi'!B:B, 'Điểm thực hành các buổi'!F:F, "none")</f>
        <v>0.4</v>
      </c>
      <c r="G13" s="3">
        <f>_xlfn.XLOOKUP(MID(B13, 2, 20), 'Điểm bài tập lớn'!B:B,'Điểm bài tập lớn'!D:D, "none")</f>
        <v>1</v>
      </c>
      <c r="H13" s="3">
        <f>_xlfn.XLOOKUP(MID(B13, 2, 20), 'Điểm lý thuyết'!B:B,'Điểm lý thuyết'!D:D, "none")</f>
        <v>5.3</v>
      </c>
      <c r="I13" s="6">
        <f t="shared" si="0"/>
        <v>5.4</v>
      </c>
      <c r="J13" s="10">
        <f>ROUND(IF(OR(G13=0,VALUE(LEFT(B13,1))&gt;2),0,I13+VLOOKUP(VALUE(LEFT(B13,1)),'Các bảng tham chiếu&amp;Thống kê'!$E$3:$F$5,2,0)),1)</f>
        <v>6.4</v>
      </c>
      <c r="K13" s="10" t="str">
        <f>VLOOKUP('Tổng hợp điểm '!J13,'Các bảng tham chiếu&amp;Thống kê'!$A$3:$C$10,2,1)</f>
        <v>C</v>
      </c>
    </row>
    <row r="14" spans="1:12" x14ac:dyDescent="0.3">
      <c r="A14" s="4">
        <v>8</v>
      </c>
      <c r="B14" s="3" t="s">
        <v>27</v>
      </c>
      <c r="C14" s="3" t="str">
        <f>_xlfn.XLOOKUP(MID(B14, 2, 20), 'Các bảng tham chiếu&amp;Thống kê'!B:B, 'Các bảng tham chiếu&amp;Thống kê'!C:C, "none")</f>
        <v>Huỳnh Thị Diễm</v>
      </c>
      <c r="D14" s="3">
        <f>_xlfn.XLOOKUP(MID(B14, 2, 20), 'Điểm thực hành các buổi'!B:B, 'Điểm thực hành các buổi'!D:D, "none")</f>
        <v>0.45</v>
      </c>
      <c r="E14" s="3">
        <f>_xlfn.XLOOKUP(MID(B14, 2, 20), 'Điểm thực hành các buổi'!B:B, 'Điểm thực hành các buổi'!E:E, "none")</f>
        <v>0.4</v>
      </c>
      <c r="F14" s="3">
        <f>_xlfn.XLOOKUP(MID(B14, 2, 20), 'Điểm thực hành các buổi'!B:B, 'Điểm thực hành các buổi'!F:F, "none")</f>
        <v>0.45</v>
      </c>
      <c r="G14" s="3">
        <f>_xlfn.XLOOKUP(MID(B14, 2, 20), 'Điểm bài tập lớn'!B:B,'Điểm bài tập lớn'!D:D, "none")</f>
        <v>0</v>
      </c>
      <c r="H14" s="3">
        <f>_xlfn.XLOOKUP(MID(B14, 2, 20), 'Điểm lý thuyết'!B:B,'Điểm lý thuyết'!D:D, "none")</f>
        <v>6.8</v>
      </c>
      <c r="I14" s="6">
        <f t="shared" si="0"/>
        <v>5.4</v>
      </c>
      <c r="J14" s="10">
        <f>ROUND(IF(OR(G14=0,VALUE(LEFT(B14,1))&gt;2),0,I14+VLOOKUP(VALUE(LEFT(B14,1)),'Các bảng tham chiếu&amp;Thống kê'!$E$3:$F$5,2,0)),1)</f>
        <v>0</v>
      </c>
      <c r="K14" s="10" t="str">
        <f>VLOOKUP('Tổng hợp điểm '!J14,'Các bảng tham chiếu&amp;Thống kê'!$A$3:$C$10,2,1)</f>
        <v>F</v>
      </c>
    </row>
    <row r="15" spans="1:12" x14ac:dyDescent="0.3">
      <c r="A15" s="4">
        <v>9</v>
      </c>
      <c r="B15" s="3" t="s">
        <v>28</v>
      </c>
      <c r="C15" s="3" t="str">
        <f>_xlfn.XLOOKUP(MID(B15, 2, 20), 'Các bảng tham chiếu&amp;Thống kê'!B:B, 'Các bảng tham chiếu&amp;Thống kê'!C:C, "none")</f>
        <v>Trần Thanh Nguyên</v>
      </c>
      <c r="D15" s="3">
        <f>_xlfn.XLOOKUP(MID(B15, 2, 20), 'Điểm thực hành các buổi'!B:B, 'Điểm thực hành các buổi'!D:D, "none")</f>
        <v>0.45</v>
      </c>
      <c r="E15" s="3">
        <f>_xlfn.XLOOKUP(MID(B15, 2, 20), 'Điểm thực hành các buổi'!B:B, 'Điểm thực hành các buổi'!E:E, "none")</f>
        <v>0.4</v>
      </c>
      <c r="F15" s="3">
        <f>_xlfn.XLOOKUP(MID(B15, 2, 20), 'Điểm thực hành các buổi'!B:B, 'Điểm thực hành các buổi'!F:F, "none")</f>
        <v>0.4</v>
      </c>
      <c r="G15" s="3">
        <f>_xlfn.XLOOKUP(MID(B15, 2, 20), 'Điểm bài tập lớn'!B:B,'Điểm bài tập lớn'!D:D, "none")</f>
        <v>0.75</v>
      </c>
      <c r="H15" s="3">
        <f>_xlfn.XLOOKUP(MID(B15, 2, 20), 'Điểm lý thuyết'!B:B,'Điểm lý thuyết'!D:D, "none")</f>
        <v>6.3</v>
      </c>
      <c r="I15" s="6">
        <f t="shared" si="0"/>
        <v>5.8</v>
      </c>
      <c r="J15" s="10">
        <f>ROUND(IF(OR(G15=0,VALUE(LEFT(B15,1))&gt;2),0,I15+VLOOKUP(VALUE(LEFT(B15,1)),'Các bảng tham chiếu&amp;Thống kê'!$E$3:$F$5,2,0)),1)</f>
        <v>6.8</v>
      </c>
      <c r="K15" s="10" t="str">
        <f>VLOOKUP('Tổng hợp điểm '!J15,'Các bảng tham chiếu&amp;Thống kê'!$A$3:$C$10,2,1)</f>
        <v>C+</v>
      </c>
    </row>
    <row r="16" spans="1:12" x14ac:dyDescent="0.3">
      <c r="A16" s="4">
        <v>10</v>
      </c>
      <c r="B16" s="3" t="s">
        <v>29</v>
      </c>
      <c r="C16" s="3" t="str">
        <f>_xlfn.XLOOKUP(MID(B16, 2, 20), 'Các bảng tham chiếu&amp;Thống kê'!B:B, 'Các bảng tham chiếu&amp;Thống kê'!C:C, "none")</f>
        <v>Nguyễn Thị Đào</v>
      </c>
      <c r="D16" s="3">
        <f>_xlfn.XLOOKUP(MID(B16, 2, 20), 'Điểm thực hành các buổi'!B:B, 'Điểm thực hành các buổi'!D:D, "none")</f>
        <v>0.3</v>
      </c>
      <c r="E16" s="3">
        <f>_xlfn.XLOOKUP(MID(B16, 2, 20), 'Điểm thực hành các buổi'!B:B, 'Điểm thực hành các buổi'!E:E, "none")</f>
        <v>0.5</v>
      </c>
      <c r="F16" s="3">
        <f>_xlfn.XLOOKUP(MID(B16, 2, 20), 'Điểm thực hành các buổi'!B:B, 'Điểm thực hành các buổi'!F:F, "none")</f>
        <v>0.45</v>
      </c>
      <c r="G16" s="3">
        <f>_xlfn.XLOOKUP(MID(B16, 2, 20), 'Điểm bài tập lớn'!B:B,'Điểm bài tập lớn'!D:D, "none")</f>
        <v>0.3</v>
      </c>
      <c r="H16" s="3">
        <f>_xlfn.XLOOKUP(MID(B16, 2, 20), 'Điểm lý thuyết'!B:B,'Điểm lý thuyết'!D:D, "none")</f>
        <v>8.3000000000000007</v>
      </c>
      <c r="I16" s="6">
        <f t="shared" si="0"/>
        <v>6.5</v>
      </c>
      <c r="J16" s="10">
        <f>ROUND(IF(OR(G16=0,VALUE(LEFT(B16,1))&gt;2),0,I16+VLOOKUP(VALUE(LEFT(B16,1)),'Các bảng tham chiếu&amp;Thống kê'!$E$3:$F$5,2,0)),1)</f>
        <v>7</v>
      </c>
      <c r="K16" s="10" t="str">
        <f>VLOOKUP('Tổng hợp điểm '!J16,'Các bảng tham chiếu&amp;Thống kê'!$A$3:$C$10,2,1)</f>
        <v>B</v>
      </c>
    </row>
    <row r="17" spans="1:11" x14ac:dyDescent="0.3">
      <c r="A17" s="4">
        <v>11</v>
      </c>
      <c r="B17" s="3" t="s">
        <v>30</v>
      </c>
      <c r="C17" s="3" t="str">
        <f>_xlfn.XLOOKUP(MID(B17, 2, 20), 'Các bảng tham chiếu&amp;Thống kê'!B:B, 'Các bảng tham chiếu&amp;Thống kê'!C:C, "none")</f>
        <v>Nguyễn Chí Thanh</v>
      </c>
      <c r="D17" s="3">
        <f>_xlfn.XLOOKUP(MID(B17, 2, 20), 'Điểm thực hành các buổi'!B:B, 'Điểm thực hành các buổi'!D:D, "none")</f>
        <v>0.4</v>
      </c>
      <c r="E17" s="3">
        <f>_xlfn.XLOOKUP(MID(B17, 2, 20), 'Điểm thực hành các buổi'!B:B, 'Điểm thực hành các buổi'!E:E, "none")</f>
        <v>0.45</v>
      </c>
      <c r="F17" s="3">
        <f>_xlfn.XLOOKUP(MID(B17, 2, 20), 'Điểm thực hành các buổi'!B:B, 'Điểm thực hành các buổi'!F:F, "none")</f>
        <v>0.4</v>
      </c>
      <c r="G17" s="3">
        <f>_xlfn.XLOOKUP(MID(B17, 2, 20), 'Điểm bài tập lớn'!B:B,'Điểm bài tập lớn'!D:D, "none")</f>
        <v>0.3</v>
      </c>
      <c r="H17" s="3">
        <f>_xlfn.XLOOKUP(MID(B17, 2, 20), 'Điểm lý thuyết'!B:B,'Điểm lý thuyết'!D:D, "none")</f>
        <v>-3</v>
      </c>
      <c r="I17" s="6">
        <f t="shared" si="0"/>
        <v>0</v>
      </c>
      <c r="J17" s="10">
        <f>ROUND(IF(OR(G17=0,VALUE(LEFT(B17,1))&gt;2),0,I17+VLOOKUP(VALUE(LEFT(B17,1)),'Các bảng tham chiếu&amp;Thống kê'!$E$3:$F$5,2,0)),1)</f>
        <v>0</v>
      </c>
      <c r="K17" s="10" t="str">
        <f>VLOOKUP('Tổng hợp điểm '!J17,'Các bảng tham chiếu&amp;Thống kê'!$A$3:$C$10,2,1)</f>
        <v>F</v>
      </c>
    </row>
    <row r="18" spans="1:11" x14ac:dyDescent="0.3">
      <c r="A18" s="4">
        <v>12</v>
      </c>
      <c r="B18" s="3" t="s">
        <v>31</v>
      </c>
      <c r="C18" s="3" t="str">
        <f>_xlfn.XLOOKUP(MID(B18, 2, 20), 'Các bảng tham chiếu&amp;Thống kê'!B:B, 'Các bảng tham chiếu&amp;Thống kê'!C:C, "none")</f>
        <v>Nguyễn Hải Anh</v>
      </c>
      <c r="D18" s="3">
        <f>_xlfn.XLOOKUP(MID(B18, 2, 20), 'Điểm thực hành các buổi'!B:B, 'Điểm thực hành các buổi'!D:D, "none")</f>
        <v>0.5</v>
      </c>
      <c r="E18" s="3">
        <f>_xlfn.XLOOKUP(MID(B18, 2, 20), 'Điểm thực hành các buổi'!B:B, 'Điểm thực hành các buổi'!E:E, "none")</f>
        <v>0.5</v>
      </c>
      <c r="F18" s="3">
        <f>_xlfn.XLOOKUP(MID(B18, 2, 20), 'Điểm thực hành các buổi'!B:B, 'Điểm thực hành các buổi'!F:F, "none")</f>
        <v>0.45</v>
      </c>
      <c r="G18" s="3">
        <f>_xlfn.XLOOKUP(MID(B18, 2, 20), 'Điểm bài tập lớn'!B:B,'Điểm bài tập lớn'!D:D, "none")</f>
        <v>1.5</v>
      </c>
      <c r="H18" s="3">
        <f>_xlfn.XLOOKUP(MID(B18, 2, 20), 'Điểm lý thuyết'!B:B,'Điểm lý thuyết'!D:D, "none")</f>
        <v>7</v>
      </c>
      <c r="I18" s="6">
        <f t="shared" si="0"/>
        <v>7.2</v>
      </c>
      <c r="J18" s="10">
        <f>ROUND(IF(OR(G18=0,VALUE(LEFT(B18,1))&gt;2),0,I18+VLOOKUP(VALUE(LEFT(B18,1)),'Các bảng tham chiếu&amp;Thống kê'!$E$3:$F$5,2,0)),1)</f>
        <v>7.5</v>
      </c>
      <c r="K18" s="10" t="str">
        <f>VLOOKUP('Tổng hợp điểm '!J18,'Các bảng tham chiếu&amp;Thống kê'!$A$3:$C$10,2,1)</f>
        <v>B</v>
      </c>
    </row>
    <row r="19" spans="1:11" x14ac:dyDescent="0.3">
      <c r="A19" s="4">
        <v>13</v>
      </c>
      <c r="B19" s="3" t="s">
        <v>32</v>
      </c>
      <c r="C19" s="3" t="str">
        <f>_xlfn.XLOOKUP(MID(B19, 2, 20), 'Các bảng tham chiếu&amp;Thống kê'!B:B, 'Các bảng tham chiếu&amp;Thống kê'!C:C, "none")</f>
        <v>Trần Nam Dương</v>
      </c>
      <c r="D19" s="3">
        <f>_xlfn.XLOOKUP(MID(B19, 2, 20), 'Điểm thực hành các buổi'!B:B, 'Điểm thực hành các buổi'!D:D, "none")</f>
        <v>0.4</v>
      </c>
      <c r="E19" s="3">
        <f>_xlfn.XLOOKUP(MID(B19, 2, 20), 'Điểm thực hành các buổi'!B:B, 'Điểm thực hành các buổi'!E:E, "none")</f>
        <v>0.4</v>
      </c>
      <c r="F19" s="3">
        <f>_xlfn.XLOOKUP(MID(B19, 2, 20), 'Điểm thực hành các buổi'!B:B, 'Điểm thực hành các buổi'!F:F, "none")</f>
        <v>0.35</v>
      </c>
      <c r="G19" s="3">
        <f>_xlfn.XLOOKUP(MID(B19, 2, 20), 'Điểm bài tập lớn'!B:B,'Điểm bài tập lớn'!D:D, "none")</f>
        <v>1.35</v>
      </c>
      <c r="H19" s="3">
        <f>_xlfn.XLOOKUP(MID(B19, 2, 20), 'Điểm lý thuyết'!B:B,'Điểm lý thuyết'!D:D, "none")</f>
        <v>-3</v>
      </c>
      <c r="I19" s="6">
        <f t="shared" si="0"/>
        <v>0</v>
      </c>
      <c r="J19" s="10">
        <f>ROUND(IF(OR(G19=0,VALUE(LEFT(B19,1))&gt;2),0,I19+VLOOKUP(VALUE(LEFT(B19,1)),'Các bảng tham chiếu&amp;Thống kê'!$E$3:$F$5,2,0)),1)</f>
        <v>0</v>
      </c>
      <c r="K19" s="10" t="str">
        <f>VLOOKUP('Tổng hợp điểm '!J19,'Các bảng tham chiếu&amp;Thống kê'!$A$3:$C$10,2,1)</f>
        <v>F</v>
      </c>
    </row>
    <row r="20" spans="1:11" x14ac:dyDescent="0.3">
      <c r="A20" s="4">
        <v>14</v>
      </c>
      <c r="B20" s="3" t="s">
        <v>33</v>
      </c>
      <c r="C20" s="3" t="str">
        <f>_xlfn.XLOOKUP(MID(B20, 2, 20), 'Các bảng tham chiếu&amp;Thống kê'!B:B, 'Các bảng tham chiếu&amp;Thống kê'!C:C, "none")</f>
        <v>Nguyễn Duy Khanh</v>
      </c>
      <c r="D20" s="3">
        <f>_xlfn.XLOOKUP(MID(B20, 2, 20), 'Điểm thực hành các buổi'!B:B, 'Điểm thực hành các buổi'!D:D, "none")</f>
        <v>0.35</v>
      </c>
      <c r="E20" s="3">
        <f>_xlfn.XLOOKUP(MID(B20, 2, 20), 'Điểm thực hành các buổi'!B:B, 'Điểm thực hành các buổi'!E:E, "none")</f>
        <v>0.4</v>
      </c>
      <c r="F20" s="3">
        <f>_xlfn.XLOOKUP(MID(B20, 2, 20), 'Điểm thực hành các buổi'!B:B, 'Điểm thực hành các buổi'!F:F, "none")</f>
        <v>0</v>
      </c>
      <c r="G20" s="3">
        <f>_xlfn.XLOOKUP(MID(B20, 2, 20), 'Điểm bài tập lớn'!B:B,'Điểm bài tập lớn'!D:D, "none")</f>
        <v>0.85</v>
      </c>
      <c r="H20" s="3">
        <f>_xlfn.XLOOKUP(MID(B20, 2, 20), 'Điểm lý thuyết'!B:B,'Điểm lý thuyết'!D:D, "none")</f>
        <v>6.5</v>
      </c>
      <c r="I20" s="6">
        <f t="shared" si="0"/>
        <v>5.5</v>
      </c>
      <c r="J20" s="10">
        <f>ROUND(IF(OR(G20=0,VALUE(LEFT(B20,1))&gt;2),0,I20+VLOOKUP(VALUE(LEFT(B20,1)),'Các bảng tham chiếu&amp;Thống kê'!$E$3:$F$5,2,0)),1)</f>
        <v>6.5</v>
      </c>
      <c r="K20" s="10" t="str">
        <f>VLOOKUP('Tổng hợp điểm '!J20,'Các bảng tham chiếu&amp;Thống kê'!$A$3:$C$10,2,1)</f>
        <v>C+</v>
      </c>
    </row>
    <row r="21" spans="1:11" x14ac:dyDescent="0.3">
      <c r="D21" s="3"/>
      <c r="E21" s="3"/>
      <c r="F21" s="3"/>
      <c r="G21" s="3"/>
      <c r="H21" s="3"/>
    </row>
    <row r="22" spans="1:11" x14ac:dyDescent="0.3">
      <c r="D22" s="3"/>
      <c r="F22" s="3"/>
      <c r="G22" s="3"/>
      <c r="H22" s="3"/>
    </row>
    <row r="23" spans="1:11" x14ac:dyDescent="0.3">
      <c r="H23" s="3"/>
    </row>
    <row r="24" spans="1:11" x14ac:dyDescent="0.3">
      <c r="H24" s="3"/>
    </row>
  </sheetData>
  <mergeCells count="7">
    <mergeCell ref="B1:H1"/>
    <mergeCell ref="D2:E2"/>
    <mergeCell ref="D3:E3"/>
    <mergeCell ref="D4:E4"/>
    <mergeCell ref="F2:I2"/>
    <mergeCell ref="F3:H3"/>
    <mergeCell ref="F4:H4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6124-B780-4273-950A-542BB8E88582}">
  <dimension ref="A1:F16"/>
  <sheetViews>
    <sheetView workbookViewId="0">
      <selection activeCell="F16" sqref="F16"/>
    </sheetView>
  </sheetViews>
  <sheetFormatPr defaultRowHeight="14.4" x14ac:dyDescent="0.3"/>
  <cols>
    <col min="1" max="1" width="6.109375" style="11" bestFit="1" customWidth="1"/>
    <col min="2" max="2" width="12.44140625" style="11" customWidth="1"/>
    <col min="3" max="3" width="18.33203125" style="12" customWidth="1"/>
    <col min="4" max="4" width="12" style="11" customWidth="1"/>
    <col min="5" max="5" width="11.33203125" style="11" customWidth="1"/>
    <col min="6" max="6" width="12" style="11" customWidth="1"/>
  </cols>
  <sheetData>
    <row r="1" spans="1:6" x14ac:dyDescent="0.3">
      <c r="A1" s="42" t="s">
        <v>63</v>
      </c>
      <c r="B1" s="43"/>
      <c r="C1" s="43"/>
      <c r="D1" s="43"/>
      <c r="E1" s="43"/>
      <c r="F1" s="44"/>
    </row>
    <row r="2" spans="1:6" x14ac:dyDescent="0.3">
      <c r="A2" s="13" t="s">
        <v>10</v>
      </c>
      <c r="B2" s="13" t="s">
        <v>11</v>
      </c>
      <c r="C2" s="13" t="s">
        <v>34</v>
      </c>
      <c r="D2" s="13" t="s">
        <v>13</v>
      </c>
      <c r="E2" s="13" t="s">
        <v>14</v>
      </c>
      <c r="F2" s="13" t="s">
        <v>15</v>
      </c>
    </row>
    <row r="3" spans="1:6" x14ac:dyDescent="0.3">
      <c r="A3" s="11">
        <v>1</v>
      </c>
      <c r="B3" s="11" t="s">
        <v>35</v>
      </c>
      <c r="C3" s="12" t="s">
        <v>36</v>
      </c>
      <c r="D3" s="11">
        <v>0.45</v>
      </c>
      <c r="E3" s="11">
        <v>0.25</v>
      </c>
      <c r="F3" s="11">
        <v>0.3</v>
      </c>
    </row>
    <row r="4" spans="1:6" x14ac:dyDescent="0.3">
      <c r="A4" s="11">
        <v>2</v>
      </c>
      <c r="B4" s="11" t="s">
        <v>37</v>
      </c>
      <c r="C4" s="12" t="s">
        <v>38</v>
      </c>
      <c r="D4" s="11">
        <v>0.5</v>
      </c>
      <c r="E4" s="11">
        <v>0.35</v>
      </c>
      <c r="F4" s="11">
        <v>0.4</v>
      </c>
    </row>
    <row r="5" spans="1:6" x14ac:dyDescent="0.3">
      <c r="A5" s="11">
        <v>3</v>
      </c>
      <c r="B5" s="11" t="s">
        <v>39</v>
      </c>
      <c r="C5" s="12" t="s">
        <v>40</v>
      </c>
      <c r="D5" s="11">
        <v>0.25</v>
      </c>
      <c r="E5" s="11">
        <v>0.25</v>
      </c>
      <c r="F5" s="11">
        <v>0.3</v>
      </c>
    </row>
    <row r="6" spans="1:6" x14ac:dyDescent="0.3">
      <c r="A6" s="11">
        <v>4</v>
      </c>
      <c r="B6" s="11" t="s">
        <v>41</v>
      </c>
      <c r="C6" s="12" t="s">
        <v>42</v>
      </c>
      <c r="D6" s="11">
        <v>0.4</v>
      </c>
      <c r="E6" s="11">
        <v>0.25</v>
      </c>
      <c r="F6" s="11">
        <v>0.35</v>
      </c>
    </row>
    <row r="7" spans="1:6" x14ac:dyDescent="0.3">
      <c r="A7" s="11">
        <v>5</v>
      </c>
      <c r="B7" s="11" t="s">
        <v>43</v>
      </c>
      <c r="C7" s="12" t="s">
        <v>44</v>
      </c>
      <c r="D7" s="11">
        <v>0.45</v>
      </c>
      <c r="E7" s="11">
        <v>0.4</v>
      </c>
      <c r="F7" s="11">
        <v>0.35</v>
      </c>
    </row>
    <row r="8" spans="1:6" x14ac:dyDescent="0.3">
      <c r="A8" s="11">
        <v>6</v>
      </c>
      <c r="B8" s="11" t="s">
        <v>45</v>
      </c>
      <c r="C8" s="12" t="s">
        <v>46</v>
      </c>
      <c r="D8" s="11">
        <v>0.4</v>
      </c>
      <c r="E8" s="11">
        <v>0.45</v>
      </c>
      <c r="F8" s="11">
        <v>0.5</v>
      </c>
    </row>
    <row r="9" spans="1:6" x14ac:dyDescent="0.3">
      <c r="A9" s="11">
        <v>7</v>
      </c>
      <c r="B9" s="11" t="s">
        <v>47</v>
      </c>
      <c r="C9" s="12" t="s">
        <v>48</v>
      </c>
      <c r="D9" s="11">
        <v>0.4</v>
      </c>
      <c r="E9" s="11">
        <v>0.4</v>
      </c>
      <c r="F9" s="11">
        <v>0.4</v>
      </c>
    </row>
    <row r="10" spans="1:6" x14ac:dyDescent="0.3">
      <c r="A10" s="11">
        <v>8</v>
      </c>
      <c r="B10" s="11" t="s">
        <v>49</v>
      </c>
      <c r="C10" s="12" t="s">
        <v>50</v>
      </c>
      <c r="D10" s="11">
        <v>0.45</v>
      </c>
      <c r="E10" s="11">
        <v>0.4</v>
      </c>
      <c r="F10" s="11">
        <v>0.45</v>
      </c>
    </row>
    <row r="11" spans="1:6" x14ac:dyDescent="0.3">
      <c r="A11" s="11">
        <v>9</v>
      </c>
      <c r="B11" s="11" t="s">
        <v>51</v>
      </c>
      <c r="C11" s="12" t="s">
        <v>52</v>
      </c>
      <c r="D11" s="11">
        <v>0.45</v>
      </c>
      <c r="E11" s="11">
        <v>0.4</v>
      </c>
      <c r="F11" s="11">
        <v>0.4</v>
      </c>
    </row>
    <row r="12" spans="1:6" x14ac:dyDescent="0.3">
      <c r="A12" s="11">
        <v>10</v>
      </c>
      <c r="B12" s="11" t="s">
        <v>53</v>
      </c>
      <c r="C12" s="12" t="s">
        <v>54</v>
      </c>
      <c r="D12" s="11">
        <v>0.3</v>
      </c>
      <c r="E12" s="11">
        <v>0.5</v>
      </c>
      <c r="F12" s="11">
        <v>0.45</v>
      </c>
    </row>
    <row r="13" spans="1:6" x14ac:dyDescent="0.3">
      <c r="A13" s="11">
        <v>11</v>
      </c>
      <c r="B13" s="11" t="s">
        <v>55</v>
      </c>
      <c r="C13" s="12" t="s">
        <v>56</v>
      </c>
      <c r="D13" s="11">
        <v>0.4</v>
      </c>
      <c r="E13" s="11">
        <v>0.45</v>
      </c>
      <c r="F13" s="11">
        <v>0.4</v>
      </c>
    </row>
    <row r="14" spans="1:6" x14ac:dyDescent="0.3">
      <c r="A14" s="11">
        <v>12</v>
      </c>
      <c r="B14" s="11" t="s">
        <v>57</v>
      </c>
      <c r="C14" s="12" t="s">
        <v>58</v>
      </c>
      <c r="D14" s="11">
        <v>0.5</v>
      </c>
      <c r="E14" s="11">
        <v>0.5</v>
      </c>
      <c r="F14" s="11">
        <v>0.45</v>
      </c>
    </row>
    <row r="15" spans="1:6" x14ac:dyDescent="0.3">
      <c r="A15" s="11">
        <v>13</v>
      </c>
      <c r="B15" s="11" t="s">
        <v>59</v>
      </c>
      <c r="C15" s="12" t="s">
        <v>60</v>
      </c>
      <c r="D15" s="11">
        <v>0.4</v>
      </c>
      <c r="E15" s="11">
        <v>0.4</v>
      </c>
      <c r="F15" s="11">
        <v>0.35</v>
      </c>
    </row>
    <row r="16" spans="1:6" x14ac:dyDescent="0.3">
      <c r="A16" s="11">
        <v>14</v>
      </c>
      <c r="B16" s="11" t="s">
        <v>61</v>
      </c>
      <c r="C16" s="12" t="s">
        <v>62</v>
      </c>
      <c r="D16" s="11">
        <v>0.35</v>
      </c>
      <c r="E16" s="11">
        <v>0.4</v>
      </c>
      <c r="F16" s="11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D870-3794-49BC-B1AA-0CD8FAA4EF71}">
  <dimension ref="A1:D16"/>
  <sheetViews>
    <sheetView workbookViewId="0">
      <selection activeCell="G7" sqref="G7"/>
    </sheetView>
  </sheetViews>
  <sheetFormatPr defaultRowHeight="14.4" x14ac:dyDescent="0.3"/>
  <cols>
    <col min="1" max="1" width="6.109375" style="11" bestFit="1" customWidth="1"/>
    <col min="2" max="2" width="14" style="11" customWidth="1"/>
    <col min="3" max="3" width="17.44140625" style="12" customWidth="1"/>
    <col min="4" max="4" width="11.88671875" style="11" customWidth="1"/>
  </cols>
  <sheetData>
    <row r="1" spans="1:4" x14ac:dyDescent="0.3">
      <c r="A1" s="42" t="s">
        <v>67</v>
      </c>
      <c r="B1" s="45"/>
      <c r="C1" s="45"/>
      <c r="D1" s="46"/>
    </row>
    <row r="2" spans="1:4" x14ac:dyDescent="0.3">
      <c r="A2" s="13" t="s">
        <v>10</v>
      </c>
      <c r="B2" s="13" t="s">
        <v>11</v>
      </c>
      <c r="C2" s="13" t="s">
        <v>34</v>
      </c>
      <c r="D2" s="13" t="s">
        <v>66</v>
      </c>
    </row>
    <row r="3" spans="1:4" x14ac:dyDescent="0.3">
      <c r="A3" s="11">
        <v>1</v>
      </c>
      <c r="B3" s="11" t="s">
        <v>35</v>
      </c>
      <c r="C3" s="12" t="s">
        <v>36</v>
      </c>
      <c r="D3" s="11">
        <v>0.5</v>
      </c>
    </row>
    <row r="4" spans="1:4" x14ac:dyDescent="0.3">
      <c r="A4" s="11">
        <v>2</v>
      </c>
      <c r="B4" s="11" t="s">
        <v>37</v>
      </c>
      <c r="C4" s="12" t="s">
        <v>38</v>
      </c>
      <c r="D4" s="11">
        <v>1</v>
      </c>
    </row>
    <row r="5" spans="1:4" x14ac:dyDescent="0.3">
      <c r="A5" s="11">
        <v>3</v>
      </c>
      <c r="B5" s="11" t="s">
        <v>39</v>
      </c>
      <c r="C5" s="12" t="s">
        <v>40</v>
      </c>
      <c r="D5" s="11">
        <v>0.5</v>
      </c>
    </row>
    <row r="6" spans="1:4" x14ac:dyDescent="0.3">
      <c r="A6" s="11">
        <v>4</v>
      </c>
      <c r="B6" s="11" t="s">
        <v>41</v>
      </c>
      <c r="C6" s="12" t="s">
        <v>42</v>
      </c>
      <c r="D6" s="11">
        <v>1</v>
      </c>
    </row>
    <row r="7" spans="1:4" x14ac:dyDescent="0.3">
      <c r="A7" s="11">
        <v>5</v>
      </c>
      <c r="B7" s="11" t="s">
        <v>43</v>
      </c>
      <c r="C7" s="12" t="s">
        <v>44</v>
      </c>
      <c r="D7" s="11">
        <v>0.75</v>
      </c>
    </row>
    <row r="8" spans="1:4" x14ac:dyDescent="0.3">
      <c r="A8" s="11">
        <v>6</v>
      </c>
      <c r="B8" s="11" t="s">
        <v>45</v>
      </c>
      <c r="C8" s="12" t="s">
        <v>46</v>
      </c>
      <c r="D8" s="11">
        <v>1.2</v>
      </c>
    </row>
    <row r="9" spans="1:4" x14ac:dyDescent="0.3">
      <c r="A9" s="11">
        <v>7</v>
      </c>
      <c r="B9" s="11" t="s">
        <v>47</v>
      </c>
      <c r="C9" s="12" t="s">
        <v>48</v>
      </c>
      <c r="D9" s="11">
        <v>1</v>
      </c>
    </row>
    <row r="10" spans="1:4" x14ac:dyDescent="0.3">
      <c r="A10" s="11">
        <v>8</v>
      </c>
      <c r="B10" s="11" t="s">
        <v>49</v>
      </c>
      <c r="C10" s="12" t="s">
        <v>50</v>
      </c>
      <c r="D10" s="11">
        <v>0</v>
      </c>
    </row>
    <row r="11" spans="1:4" x14ac:dyDescent="0.3">
      <c r="A11" s="11">
        <v>9</v>
      </c>
      <c r="B11" s="11" t="s">
        <v>51</v>
      </c>
      <c r="C11" s="12" t="s">
        <v>52</v>
      </c>
      <c r="D11" s="11">
        <v>0.75</v>
      </c>
    </row>
    <row r="12" spans="1:4" x14ac:dyDescent="0.3">
      <c r="A12" s="11">
        <v>10</v>
      </c>
      <c r="B12" s="11" t="s">
        <v>53</v>
      </c>
      <c r="C12" s="12" t="s">
        <v>54</v>
      </c>
      <c r="D12" s="11">
        <v>0.3</v>
      </c>
    </row>
    <row r="13" spans="1:4" x14ac:dyDescent="0.3">
      <c r="A13" s="11">
        <v>11</v>
      </c>
      <c r="B13" s="11" t="s">
        <v>55</v>
      </c>
      <c r="C13" s="12" t="s">
        <v>56</v>
      </c>
      <c r="D13" s="11">
        <v>0.3</v>
      </c>
    </row>
    <row r="14" spans="1:4" x14ac:dyDescent="0.3">
      <c r="A14" s="11">
        <v>12</v>
      </c>
      <c r="B14" s="11" t="s">
        <v>57</v>
      </c>
      <c r="C14" s="12" t="s">
        <v>58</v>
      </c>
      <c r="D14" s="11">
        <v>1.5</v>
      </c>
    </row>
    <row r="15" spans="1:4" x14ac:dyDescent="0.3">
      <c r="A15" s="11">
        <v>13</v>
      </c>
      <c r="B15" s="11" t="s">
        <v>59</v>
      </c>
      <c r="C15" s="12" t="s">
        <v>60</v>
      </c>
      <c r="D15" s="11">
        <v>1.35</v>
      </c>
    </row>
    <row r="16" spans="1:4" x14ac:dyDescent="0.3">
      <c r="A16" s="11">
        <v>14</v>
      </c>
      <c r="B16" s="11" t="s">
        <v>61</v>
      </c>
      <c r="C16" s="12" t="s">
        <v>62</v>
      </c>
      <c r="D16" s="11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A3F1-2E09-413D-9614-11BC2B4A532F}">
  <dimension ref="A1:D16"/>
  <sheetViews>
    <sheetView workbookViewId="0">
      <selection activeCell="E3" sqref="E3"/>
    </sheetView>
  </sheetViews>
  <sheetFormatPr defaultRowHeight="14.4" x14ac:dyDescent="0.3"/>
  <cols>
    <col min="1" max="1" width="6.109375" style="11" bestFit="1" customWidth="1"/>
    <col min="2" max="2" width="10.88671875" style="11" customWidth="1"/>
    <col min="3" max="3" width="21.5546875" style="12" customWidth="1"/>
    <col min="4" max="4" width="16.5546875" style="11" customWidth="1"/>
  </cols>
  <sheetData>
    <row r="1" spans="1:4" x14ac:dyDescent="0.3">
      <c r="A1" s="47" t="s">
        <v>64</v>
      </c>
      <c r="B1" s="47"/>
      <c r="C1" s="47"/>
      <c r="D1" s="47"/>
    </row>
    <row r="2" spans="1:4" x14ac:dyDescent="0.3">
      <c r="A2" s="14" t="s">
        <v>10</v>
      </c>
      <c r="B2" s="14" t="s">
        <v>11</v>
      </c>
      <c r="C2" s="14" t="s">
        <v>12</v>
      </c>
      <c r="D2" s="14" t="s">
        <v>64</v>
      </c>
    </row>
    <row r="3" spans="1:4" x14ac:dyDescent="0.3">
      <c r="A3" s="11">
        <v>1</v>
      </c>
      <c r="B3" s="11" t="s">
        <v>35</v>
      </c>
      <c r="C3" s="12" t="s">
        <v>36</v>
      </c>
      <c r="D3" s="11">
        <v>4.2</v>
      </c>
    </row>
    <row r="4" spans="1:4" x14ac:dyDescent="0.3">
      <c r="A4" s="11">
        <v>2</v>
      </c>
      <c r="B4" s="11" t="s">
        <v>37</v>
      </c>
      <c r="C4" s="12" t="s">
        <v>38</v>
      </c>
      <c r="D4" s="11">
        <v>5.8</v>
      </c>
    </row>
    <row r="5" spans="1:4" x14ac:dyDescent="0.3">
      <c r="A5" s="11">
        <v>3</v>
      </c>
      <c r="B5" s="11" t="s">
        <v>39</v>
      </c>
      <c r="C5" s="12" t="s">
        <v>40</v>
      </c>
      <c r="D5" s="11">
        <v>5.8</v>
      </c>
    </row>
    <row r="6" spans="1:4" x14ac:dyDescent="0.3">
      <c r="A6" s="11">
        <v>4</v>
      </c>
      <c r="B6" s="11" t="s">
        <v>41</v>
      </c>
      <c r="C6" s="12" t="s">
        <v>42</v>
      </c>
      <c r="D6" s="11">
        <v>4.5</v>
      </c>
    </row>
    <row r="7" spans="1:4" x14ac:dyDescent="0.3">
      <c r="A7" s="11">
        <v>5</v>
      </c>
      <c r="B7" s="11" t="s">
        <v>43</v>
      </c>
      <c r="C7" s="12" t="s">
        <v>44</v>
      </c>
      <c r="D7" s="11">
        <v>5.5</v>
      </c>
    </row>
    <row r="8" spans="1:4" x14ac:dyDescent="0.3">
      <c r="A8" s="11">
        <v>6</v>
      </c>
      <c r="B8" s="11" t="s">
        <v>45</v>
      </c>
      <c r="C8" s="12" t="s">
        <v>46</v>
      </c>
      <c r="D8" s="11">
        <v>7.5</v>
      </c>
    </row>
    <row r="9" spans="1:4" x14ac:dyDescent="0.3">
      <c r="A9" s="11">
        <v>7</v>
      </c>
      <c r="B9" s="11" t="s">
        <v>47</v>
      </c>
      <c r="C9" s="12" t="s">
        <v>48</v>
      </c>
      <c r="D9" s="11">
        <v>5.3</v>
      </c>
    </row>
    <row r="10" spans="1:4" x14ac:dyDescent="0.3">
      <c r="A10" s="11">
        <v>8</v>
      </c>
      <c r="B10" s="11" t="s">
        <v>49</v>
      </c>
      <c r="C10" s="12" t="s">
        <v>50</v>
      </c>
      <c r="D10" s="11">
        <v>6.8</v>
      </c>
    </row>
    <row r="11" spans="1:4" x14ac:dyDescent="0.3">
      <c r="A11" s="11">
        <v>9</v>
      </c>
      <c r="B11" s="11" t="s">
        <v>51</v>
      </c>
      <c r="C11" s="12" t="s">
        <v>65</v>
      </c>
      <c r="D11" s="11">
        <v>6.3</v>
      </c>
    </row>
    <row r="12" spans="1:4" x14ac:dyDescent="0.3">
      <c r="A12" s="11">
        <v>10</v>
      </c>
      <c r="B12" s="11" t="s">
        <v>53</v>
      </c>
      <c r="C12" s="12" t="s">
        <v>54</v>
      </c>
      <c r="D12" s="11">
        <v>8.3000000000000007</v>
      </c>
    </row>
    <row r="13" spans="1:4" x14ac:dyDescent="0.3">
      <c r="A13" s="11">
        <v>11</v>
      </c>
      <c r="B13" s="11" t="s">
        <v>55</v>
      </c>
      <c r="C13" s="12" t="s">
        <v>56</v>
      </c>
      <c r="D13" s="11">
        <v>-3</v>
      </c>
    </row>
    <row r="14" spans="1:4" x14ac:dyDescent="0.3">
      <c r="A14" s="11">
        <v>12</v>
      </c>
      <c r="B14" s="11" t="s">
        <v>57</v>
      </c>
      <c r="C14" s="12" t="s">
        <v>58</v>
      </c>
      <c r="D14" s="11">
        <v>7</v>
      </c>
    </row>
    <row r="15" spans="1:4" x14ac:dyDescent="0.3">
      <c r="A15" s="11">
        <v>13</v>
      </c>
      <c r="B15" s="11" t="s">
        <v>59</v>
      </c>
      <c r="C15" s="12" t="s">
        <v>60</v>
      </c>
      <c r="D15" s="11">
        <v>-3</v>
      </c>
    </row>
    <row r="16" spans="1:4" x14ac:dyDescent="0.3">
      <c r="A16" s="11">
        <v>14</v>
      </c>
      <c r="B16" s="11" t="s">
        <v>61</v>
      </c>
      <c r="C16" s="12" t="s">
        <v>62</v>
      </c>
      <c r="D16" s="11">
        <v>6.5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C2BF-224C-4BFD-81C1-3DD1127528E5}">
  <dimension ref="A1:G27"/>
  <sheetViews>
    <sheetView workbookViewId="0">
      <selection activeCell="F27" sqref="F27"/>
    </sheetView>
  </sheetViews>
  <sheetFormatPr defaultRowHeight="14.4" x14ac:dyDescent="0.3"/>
  <cols>
    <col min="1" max="1" width="23.88671875" style="16" bestFit="1" customWidth="1"/>
    <col min="2" max="2" width="13.77734375" style="16" customWidth="1"/>
    <col min="3" max="3" width="23.88671875" style="16" bestFit="1" customWidth="1"/>
    <col min="4" max="4" width="5.5546875" style="16" customWidth="1"/>
    <col min="5" max="5" width="19.33203125" style="16" customWidth="1"/>
    <col min="6" max="6" width="15.77734375" style="17" customWidth="1"/>
  </cols>
  <sheetData>
    <row r="1" spans="1:7" x14ac:dyDescent="0.3">
      <c r="A1" s="32" t="s">
        <v>81</v>
      </c>
      <c r="B1" s="32"/>
      <c r="C1" s="32"/>
      <c r="E1" s="33" t="s">
        <v>82</v>
      </c>
      <c r="F1" s="34"/>
    </row>
    <row r="2" spans="1:7" x14ac:dyDescent="0.3">
      <c r="A2" s="18" t="s">
        <v>68</v>
      </c>
      <c r="B2" s="18" t="s">
        <v>19</v>
      </c>
      <c r="C2" s="18" t="s">
        <v>69</v>
      </c>
      <c r="D2" s="15"/>
      <c r="E2" s="18" t="s">
        <v>70</v>
      </c>
      <c r="F2" s="18" t="s">
        <v>71</v>
      </c>
    </row>
    <row r="3" spans="1:7" x14ac:dyDescent="0.3">
      <c r="A3" s="17">
        <v>0</v>
      </c>
      <c r="B3" s="17" t="s">
        <v>72</v>
      </c>
      <c r="C3" s="17">
        <v>0</v>
      </c>
      <c r="D3" s="16" t="s">
        <v>73</v>
      </c>
      <c r="E3" s="17">
        <v>0</v>
      </c>
      <c r="F3" s="17">
        <v>1</v>
      </c>
    </row>
    <row r="4" spans="1:7" x14ac:dyDescent="0.3">
      <c r="A4" s="17">
        <v>4</v>
      </c>
      <c r="B4" s="17" t="s">
        <v>74</v>
      </c>
      <c r="C4" s="17">
        <v>1</v>
      </c>
      <c r="D4" s="16" t="s">
        <v>73</v>
      </c>
      <c r="E4" s="17">
        <v>1</v>
      </c>
      <c r="F4" s="17">
        <v>0.5</v>
      </c>
    </row>
    <row r="5" spans="1:7" x14ac:dyDescent="0.3">
      <c r="A5" s="17">
        <v>5</v>
      </c>
      <c r="B5" s="17" t="s">
        <v>75</v>
      </c>
      <c r="C5" s="17">
        <v>1.5</v>
      </c>
      <c r="D5" s="16" t="s">
        <v>73</v>
      </c>
      <c r="E5" s="17">
        <v>2</v>
      </c>
      <c r="F5" s="17">
        <v>0.25</v>
      </c>
    </row>
    <row r="6" spans="1:7" x14ac:dyDescent="0.3">
      <c r="A6" s="17">
        <v>5.5</v>
      </c>
      <c r="B6" s="17" t="s">
        <v>76</v>
      </c>
      <c r="C6" s="17">
        <v>2</v>
      </c>
      <c r="D6" s="16" t="s">
        <v>73</v>
      </c>
    </row>
    <row r="7" spans="1:7" x14ac:dyDescent="0.3">
      <c r="A7" s="17">
        <v>6.5</v>
      </c>
      <c r="B7" s="17" t="s">
        <v>77</v>
      </c>
      <c r="C7" s="17">
        <v>2.5</v>
      </c>
      <c r="D7" s="16" t="s">
        <v>73</v>
      </c>
    </row>
    <row r="8" spans="1:7" x14ac:dyDescent="0.3">
      <c r="A8" s="17">
        <v>7</v>
      </c>
      <c r="B8" s="17" t="s">
        <v>78</v>
      </c>
      <c r="C8" s="17">
        <v>3</v>
      </c>
      <c r="D8" s="16" t="s">
        <v>73</v>
      </c>
    </row>
    <row r="9" spans="1:7" x14ac:dyDescent="0.3">
      <c r="A9" s="17">
        <v>8</v>
      </c>
      <c r="B9" s="17" t="s">
        <v>79</v>
      </c>
      <c r="C9" s="17">
        <v>3.5</v>
      </c>
      <c r="D9" s="16" t="s">
        <v>73</v>
      </c>
    </row>
    <row r="10" spans="1:7" x14ac:dyDescent="0.3">
      <c r="A10" s="17">
        <v>9</v>
      </c>
      <c r="B10" s="17" t="s">
        <v>80</v>
      </c>
      <c r="C10" s="17">
        <v>4</v>
      </c>
      <c r="D10" s="16" t="s">
        <v>73</v>
      </c>
    </row>
    <row r="12" spans="1:7" x14ac:dyDescent="0.3">
      <c r="A12" s="23" t="s">
        <v>85</v>
      </c>
      <c r="B12" s="24"/>
      <c r="C12" s="25"/>
    </row>
    <row r="13" spans="1:7" ht="29.4" customHeight="1" x14ac:dyDescent="0.3">
      <c r="A13" s="20" t="s">
        <v>10</v>
      </c>
      <c r="B13" s="20" t="s">
        <v>11</v>
      </c>
      <c r="C13" s="20" t="s">
        <v>12</v>
      </c>
      <c r="D13" s="15"/>
      <c r="E13" s="20" t="s">
        <v>19</v>
      </c>
      <c r="F13" s="50" t="s">
        <v>84</v>
      </c>
      <c r="G13" s="21"/>
    </row>
    <row r="14" spans="1:7" x14ac:dyDescent="0.3">
      <c r="A14" s="16">
        <v>1</v>
      </c>
      <c r="B14" s="16" t="s">
        <v>41</v>
      </c>
      <c r="C14" s="19" t="s">
        <v>42</v>
      </c>
      <c r="E14" s="16" t="s">
        <v>80</v>
      </c>
      <c r="F14" s="16">
        <f>COUNTIF('Tổng hợp điểm '!K7:K20,'Các bảng tham chiếu&amp;Thống kê'!E14)</f>
        <v>0</v>
      </c>
      <c r="G14" s="21"/>
    </row>
    <row r="15" spans="1:7" x14ac:dyDescent="0.3">
      <c r="A15" s="16">
        <v>2</v>
      </c>
      <c r="B15" s="16" t="s">
        <v>49</v>
      </c>
      <c r="C15" s="19" t="s">
        <v>50</v>
      </c>
      <c r="E15" s="16" t="s">
        <v>79</v>
      </c>
      <c r="F15" s="16">
        <f>COUNTIF('Tổng hợp điểm '!K8:K21,'Các bảng tham chiếu&amp;Thống kê'!E15)</f>
        <v>1</v>
      </c>
      <c r="G15" s="21"/>
    </row>
    <row r="16" spans="1:7" x14ac:dyDescent="0.3">
      <c r="A16" s="16">
        <v>3</v>
      </c>
      <c r="B16" s="16" t="s">
        <v>51</v>
      </c>
      <c r="C16" s="19" t="s">
        <v>52</v>
      </c>
      <c r="E16" s="16" t="s">
        <v>78</v>
      </c>
      <c r="F16" s="16">
        <f>COUNTIF('Tổng hợp điểm '!K9:K22,'Các bảng tham chiếu&amp;Thống kê'!E16)</f>
        <v>2</v>
      </c>
      <c r="G16" s="21"/>
    </row>
    <row r="17" spans="1:7" x14ac:dyDescent="0.3">
      <c r="A17" s="16">
        <v>4</v>
      </c>
      <c r="B17" s="16" t="s">
        <v>47</v>
      </c>
      <c r="C17" s="19" t="s">
        <v>48</v>
      </c>
      <c r="E17" s="16" t="s">
        <v>77</v>
      </c>
      <c r="F17" s="16">
        <f>COUNTIF('Tổng hợp điểm '!K10:K23,'Các bảng tham chiếu&amp;Thống kê'!E17)</f>
        <v>2</v>
      </c>
      <c r="G17" s="21"/>
    </row>
    <row r="18" spans="1:7" x14ac:dyDescent="0.3">
      <c r="A18" s="16">
        <v>5</v>
      </c>
      <c r="B18" s="16" t="s">
        <v>43</v>
      </c>
      <c r="C18" s="19" t="s">
        <v>44</v>
      </c>
      <c r="E18" s="16" t="s">
        <v>76</v>
      </c>
      <c r="F18" s="16">
        <f>COUNTIF('Tổng hợp điểm '!K11:K24,'Các bảng tham chiếu&amp;Thống kê'!E18)</f>
        <v>2</v>
      </c>
      <c r="G18" s="21"/>
    </row>
    <row r="19" spans="1:7" x14ac:dyDescent="0.3">
      <c r="A19" s="16">
        <v>6</v>
      </c>
      <c r="B19" s="16" t="s">
        <v>37</v>
      </c>
      <c r="C19" s="19" t="s">
        <v>38</v>
      </c>
      <c r="E19" s="16" t="s">
        <v>75</v>
      </c>
      <c r="F19" s="16">
        <f>COUNTIF('Tổng hợp điểm '!K12:K25,'Các bảng tham chiếu&amp;Thống kê'!E19)</f>
        <v>0</v>
      </c>
      <c r="G19" s="21"/>
    </row>
    <row r="20" spans="1:7" x14ac:dyDescent="0.3">
      <c r="A20" s="16">
        <v>7</v>
      </c>
      <c r="B20" s="16" t="s">
        <v>55</v>
      </c>
      <c r="C20" s="19" t="s">
        <v>56</v>
      </c>
      <c r="E20" s="16" t="s">
        <v>74</v>
      </c>
      <c r="F20" s="16">
        <f>COUNTIF('Tổng hợp điểm '!K13:K26,'Các bảng tham chiếu&amp;Thống kê'!E20)</f>
        <v>0</v>
      </c>
      <c r="G20" s="21"/>
    </row>
    <row r="21" spans="1:7" x14ac:dyDescent="0.3">
      <c r="A21" s="16">
        <v>8</v>
      </c>
      <c r="B21" s="16" t="s">
        <v>61</v>
      </c>
      <c r="C21" s="19" t="s">
        <v>62</v>
      </c>
      <c r="E21" s="16" t="s">
        <v>72</v>
      </c>
      <c r="F21" s="16">
        <f>COUNTIF('Tổng hợp điểm '!K14:K27,'Các bảng tham chiếu&amp;Thống kê'!E21)</f>
        <v>3</v>
      </c>
      <c r="G21" s="21"/>
    </row>
    <row r="22" spans="1:7" x14ac:dyDescent="0.3">
      <c r="A22" s="16">
        <v>9</v>
      </c>
      <c r="B22" s="16" t="s">
        <v>57</v>
      </c>
      <c r="C22" s="19" t="s">
        <v>58</v>
      </c>
      <c r="E22" s="16" t="s">
        <v>73</v>
      </c>
      <c r="F22" s="16" t="s">
        <v>73</v>
      </c>
      <c r="G22" s="21"/>
    </row>
    <row r="23" spans="1:7" x14ac:dyDescent="0.3">
      <c r="A23" s="16">
        <v>10</v>
      </c>
      <c r="B23" s="16" t="s">
        <v>39</v>
      </c>
      <c r="C23" s="19" t="s">
        <v>40</v>
      </c>
      <c r="E23" s="23" t="s">
        <v>83</v>
      </c>
      <c r="F23" s="24"/>
      <c r="G23" s="21"/>
    </row>
    <row r="24" spans="1:7" x14ac:dyDescent="0.3">
      <c r="A24" s="16">
        <v>11</v>
      </c>
      <c r="B24" s="16" t="s">
        <v>53</v>
      </c>
      <c r="C24" s="19" t="s">
        <v>54</v>
      </c>
      <c r="E24" s="26" t="s">
        <v>86</v>
      </c>
      <c r="F24" s="29">
        <f>COUNTIFS('Tổng hợp điểm '!G7:G20,0) + COUNTIFS('Tổng hợp điểm '!H7:H20,-3) + COUNTIFS('Tổng hợp điểm '!G7:G20,0,'Tổng hợp điểm '!H7:H20,-3)</f>
        <v>3</v>
      </c>
      <c r="G24" s="21"/>
    </row>
    <row r="25" spans="1:7" x14ac:dyDescent="0.3">
      <c r="A25" s="16">
        <v>12</v>
      </c>
      <c r="B25" s="16" t="s">
        <v>35</v>
      </c>
      <c r="C25" s="19" t="s">
        <v>36</v>
      </c>
      <c r="E25" s="27"/>
      <c r="F25" s="30"/>
      <c r="G25" s="21"/>
    </row>
    <row r="26" spans="1:7" x14ac:dyDescent="0.3">
      <c r="A26" s="16">
        <v>13</v>
      </c>
      <c r="B26" s="16" t="s">
        <v>45</v>
      </c>
      <c r="C26" s="19" t="s">
        <v>46</v>
      </c>
      <c r="E26" s="28"/>
      <c r="F26" s="31"/>
      <c r="G26" s="21"/>
    </row>
    <row r="27" spans="1:7" x14ac:dyDescent="0.3">
      <c r="A27" s="16">
        <v>14</v>
      </c>
      <c r="B27" s="16" t="s">
        <v>59</v>
      </c>
      <c r="C27" s="19" t="s">
        <v>60</v>
      </c>
      <c r="E27" s="22" t="s">
        <v>87</v>
      </c>
      <c r="F27" s="15" cm="1">
        <f t="array" ref="F27">SUMPRODUCT(--(LEFT('Tổng hợp điểm '!B7:B20,1)&gt;"2"))</f>
        <v>2</v>
      </c>
      <c r="G27" s="21"/>
    </row>
  </sheetData>
  <mergeCells count="6">
    <mergeCell ref="A12:C12"/>
    <mergeCell ref="E23:F23"/>
    <mergeCell ref="E24:E26"/>
    <mergeCell ref="F24:F26"/>
    <mergeCell ref="A1:C1"/>
    <mergeCell ref="E1:F1"/>
  </mergeCells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AA2A-81EF-4456-A080-99EA30F26986}">
  <dimension ref="A1:K12"/>
  <sheetViews>
    <sheetView workbookViewId="0">
      <selection activeCell="D15" sqref="D15"/>
    </sheetView>
  </sheetViews>
  <sheetFormatPr defaultRowHeight="14.4" x14ac:dyDescent="0.3"/>
  <cols>
    <col min="2" max="2" width="12" customWidth="1"/>
    <col min="3" max="3" width="19.77734375" customWidth="1"/>
  </cols>
  <sheetData>
    <row r="1" spans="1:11" ht="55.2" x14ac:dyDescent="0.3">
      <c r="A1" s="48" t="s">
        <v>10</v>
      </c>
      <c r="B1" s="8" t="s">
        <v>11</v>
      </c>
      <c r="C1" s="8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68</v>
      </c>
      <c r="K1" s="9" t="s">
        <v>19</v>
      </c>
    </row>
    <row r="2" spans="1:11" x14ac:dyDescent="0.3">
      <c r="A2" s="4">
        <v>1</v>
      </c>
      <c r="B2" s="3" t="s">
        <v>20</v>
      </c>
      <c r="C2" s="3" t="s">
        <v>36</v>
      </c>
      <c r="D2" s="3">
        <v>0.45</v>
      </c>
      <c r="E2" s="3">
        <v>0.25</v>
      </c>
      <c r="F2" s="3">
        <v>0.3</v>
      </c>
      <c r="G2" s="3">
        <v>0.5</v>
      </c>
      <c r="H2" s="3">
        <v>4.2</v>
      </c>
      <c r="I2" s="6">
        <v>4</v>
      </c>
      <c r="J2" s="10">
        <v>5</v>
      </c>
      <c r="K2" s="10" t="s">
        <v>75</v>
      </c>
    </row>
    <row r="3" spans="1:11" x14ac:dyDescent="0.3">
      <c r="A3" s="4">
        <v>2</v>
      </c>
      <c r="B3" s="3" t="s">
        <v>21</v>
      </c>
      <c r="C3" s="3" t="s">
        <v>38</v>
      </c>
      <c r="D3" s="3">
        <v>0.5</v>
      </c>
      <c r="E3" s="3">
        <v>0.35</v>
      </c>
      <c r="F3" s="3">
        <v>0.4</v>
      </c>
      <c r="G3" s="3">
        <v>1</v>
      </c>
      <c r="H3" s="3">
        <v>5.8</v>
      </c>
      <c r="I3" s="6">
        <v>5.7</v>
      </c>
      <c r="J3" s="10">
        <v>6.2</v>
      </c>
      <c r="K3" s="10" t="s">
        <v>76</v>
      </c>
    </row>
    <row r="4" spans="1:11" x14ac:dyDescent="0.3">
      <c r="A4" s="4">
        <v>3</v>
      </c>
      <c r="B4" s="3" t="s">
        <v>22</v>
      </c>
      <c r="C4" s="3" t="s">
        <v>40</v>
      </c>
      <c r="D4" s="3">
        <v>0.25</v>
      </c>
      <c r="E4" s="3">
        <v>0.25</v>
      </c>
      <c r="F4" s="3">
        <v>0.3</v>
      </c>
      <c r="G4" s="3">
        <v>0.5</v>
      </c>
      <c r="H4" s="3">
        <v>5.8</v>
      </c>
      <c r="I4" s="6">
        <v>4.8</v>
      </c>
      <c r="J4" s="10">
        <v>5.8</v>
      </c>
      <c r="K4" s="10" t="s">
        <v>76</v>
      </c>
    </row>
    <row r="5" spans="1:11" x14ac:dyDescent="0.3">
      <c r="A5" s="4">
        <v>4</v>
      </c>
      <c r="B5" s="3" t="s">
        <v>23</v>
      </c>
      <c r="C5" s="3" t="s">
        <v>42</v>
      </c>
      <c r="D5" s="3">
        <v>0.4</v>
      </c>
      <c r="E5" s="3">
        <v>0.25</v>
      </c>
      <c r="F5" s="3">
        <v>0.35</v>
      </c>
      <c r="G5" s="3">
        <v>1</v>
      </c>
      <c r="H5" s="3">
        <v>4.5</v>
      </c>
      <c r="I5" s="6">
        <v>4.7</v>
      </c>
      <c r="J5" s="10">
        <v>5.7</v>
      </c>
      <c r="K5" s="10" t="s">
        <v>76</v>
      </c>
    </row>
    <row r="6" spans="1:11" x14ac:dyDescent="0.3">
      <c r="A6" s="4">
        <v>5</v>
      </c>
      <c r="B6" s="3" t="s">
        <v>24</v>
      </c>
      <c r="C6" s="3" t="s">
        <v>44</v>
      </c>
      <c r="D6" s="3">
        <v>0.45</v>
      </c>
      <c r="E6" s="3">
        <v>0.4</v>
      </c>
      <c r="F6" s="3">
        <v>0.35</v>
      </c>
      <c r="G6" s="3">
        <v>0.75</v>
      </c>
      <c r="H6" s="3">
        <v>5.5</v>
      </c>
      <c r="I6" s="6">
        <v>5.3</v>
      </c>
      <c r="J6" s="10">
        <v>5.6</v>
      </c>
      <c r="K6" s="10" t="s">
        <v>76</v>
      </c>
    </row>
    <row r="7" spans="1:11" x14ac:dyDescent="0.3">
      <c r="A7" s="4">
        <v>7</v>
      </c>
      <c r="B7" s="3" t="s">
        <v>26</v>
      </c>
      <c r="C7" s="3" t="s">
        <v>48</v>
      </c>
      <c r="D7" s="3">
        <v>0.4</v>
      </c>
      <c r="E7" s="3">
        <v>0.4</v>
      </c>
      <c r="F7" s="3">
        <v>0.4</v>
      </c>
      <c r="G7" s="3">
        <v>1</v>
      </c>
      <c r="H7" s="3">
        <v>5.3</v>
      </c>
      <c r="I7" s="6">
        <v>5.4</v>
      </c>
      <c r="J7" s="10">
        <v>6.4</v>
      </c>
      <c r="K7" s="10" t="s">
        <v>76</v>
      </c>
    </row>
    <row r="8" spans="1:11" x14ac:dyDescent="0.3">
      <c r="A8" s="4">
        <v>8</v>
      </c>
      <c r="B8" s="3" t="s">
        <v>27</v>
      </c>
      <c r="C8" s="3" t="s">
        <v>50</v>
      </c>
      <c r="D8" s="3">
        <v>0.45</v>
      </c>
      <c r="E8" s="3">
        <v>0.4</v>
      </c>
      <c r="F8" s="3">
        <v>0.45</v>
      </c>
      <c r="G8" s="3">
        <v>0</v>
      </c>
      <c r="H8" s="3">
        <v>6.8</v>
      </c>
      <c r="I8" s="6">
        <v>5.4</v>
      </c>
      <c r="J8" s="10">
        <v>0</v>
      </c>
      <c r="K8" s="10" t="s">
        <v>72</v>
      </c>
    </row>
    <row r="9" spans="1:11" x14ac:dyDescent="0.3">
      <c r="A9" s="4">
        <v>9</v>
      </c>
      <c r="B9" s="3" t="s">
        <v>28</v>
      </c>
      <c r="C9" s="3" t="s">
        <v>52</v>
      </c>
      <c r="D9" s="3">
        <v>0.45</v>
      </c>
      <c r="E9" s="3">
        <v>0.4</v>
      </c>
      <c r="F9" s="3">
        <v>0.4</v>
      </c>
      <c r="G9" s="3">
        <v>0.75</v>
      </c>
      <c r="H9" s="3">
        <v>6.3</v>
      </c>
      <c r="I9" s="6">
        <v>5.8</v>
      </c>
      <c r="J9" s="10">
        <v>6.8</v>
      </c>
      <c r="K9" s="10" t="s">
        <v>77</v>
      </c>
    </row>
    <row r="10" spans="1:11" x14ac:dyDescent="0.3">
      <c r="A10" s="4">
        <v>11</v>
      </c>
      <c r="B10" s="3" t="s">
        <v>30</v>
      </c>
      <c r="C10" s="3" t="s">
        <v>56</v>
      </c>
      <c r="D10" s="3">
        <v>0.4</v>
      </c>
      <c r="E10" s="3">
        <v>0.45</v>
      </c>
      <c r="F10" s="3">
        <v>0.4</v>
      </c>
      <c r="G10" s="3">
        <v>0.3</v>
      </c>
      <c r="H10" s="3">
        <v>-3</v>
      </c>
      <c r="I10" s="6">
        <v>0</v>
      </c>
      <c r="J10" s="10">
        <v>0</v>
      </c>
      <c r="K10" s="10" t="s">
        <v>72</v>
      </c>
    </row>
    <row r="11" spans="1:11" x14ac:dyDescent="0.3">
      <c r="A11" s="4">
        <v>13</v>
      </c>
      <c r="B11" s="3" t="s">
        <v>32</v>
      </c>
      <c r="C11" s="3" t="s">
        <v>60</v>
      </c>
      <c r="D11" s="3">
        <v>0.4</v>
      </c>
      <c r="E11" s="3">
        <v>0.4</v>
      </c>
      <c r="F11" s="3">
        <v>0.35</v>
      </c>
      <c r="G11" s="3">
        <v>1.35</v>
      </c>
      <c r="H11" s="3">
        <v>-3</v>
      </c>
      <c r="I11" s="6">
        <v>0</v>
      </c>
      <c r="J11" s="10">
        <v>0</v>
      </c>
      <c r="K11" s="10" t="s">
        <v>72</v>
      </c>
    </row>
    <row r="12" spans="1:11" x14ac:dyDescent="0.3">
      <c r="A12" s="4">
        <v>14</v>
      </c>
      <c r="B12" s="3" t="s">
        <v>33</v>
      </c>
      <c r="C12" s="3" t="s">
        <v>62</v>
      </c>
      <c r="D12" s="3">
        <v>0.35</v>
      </c>
      <c r="E12" s="3">
        <v>0.4</v>
      </c>
      <c r="F12" s="3">
        <v>0</v>
      </c>
      <c r="G12" s="3">
        <v>0.85</v>
      </c>
      <c r="H12" s="3">
        <v>6.5</v>
      </c>
      <c r="I12" s="6">
        <v>5.5</v>
      </c>
      <c r="J12" s="10">
        <v>6.5</v>
      </c>
      <c r="K12" s="10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A3D3-C379-448C-87B3-0E04BA7261EA}">
  <dimension ref="A1:K2"/>
  <sheetViews>
    <sheetView workbookViewId="0"/>
  </sheetViews>
  <sheetFormatPr defaultRowHeight="14.4" x14ac:dyDescent="0.3"/>
  <cols>
    <col min="2" max="2" width="10.88671875" customWidth="1"/>
    <col min="3" max="3" width="16.77734375" customWidth="1"/>
  </cols>
  <sheetData>
    <row r="1" spans="1:11" ht="55.2" x14ac:dyDescent="0.3">
      <c r="A1" s="48" t="s">
        <v>10</v>
      </c>
      <c r="B1" s="8" t="s">
        <v>11</v>
      </c>
      <c r="C1" s="8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68</v>
      </c>
      <c r="K1" s="9" t="s">
        <v>19</v>
      </c>
    </row>
    <row r="2" spans="1:11" x14ac:dyDescent="0.3">
      <c r="A2" s="4">
        <v>6</v>
      </c>
      <c r="B2" s="3" t="s">
        <v>25</v>
      </c>
      <c r="C2" s="3" t="s">
        <v>46</v>
      </c>
      <c r="D2" s="3">
        <v>0.4</v>
      </c>
      <c r="E2" s="3">
        <v>0.45</v>
      </c>
      <c r="F2" s="3">
        <v>0.5</v>
      </c>
      <c r="G2" s="3">
        <v>1.2</v>
      </c>
      <c r="H2" s="3">
        <v>7.5</v>
      </c>
      <c r="I2" s="6">
        <v>7.1</v>
      </c>
      <c r="J2" s="10">
        <v>8.1</v>
      </c>
      <c r="K2" s="10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11DB13-6F61-40AD-9A3D-DEDC71CEF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Tổng hợp điểm </vt:lpstr>
      <vt:lpstr>Điểm thực hành các buổi</vt:lpstr>
      <vt:lpstr>Điểm bài tập lớn</vt:lpstr>
      <vt:lpstr>Điểm lý thuyết</vt:lpstr>
      <vt:lpstr>Các bảng tham chiếu&amp;Thống kê</vt:lpstr>
      <vt:lpstr>Sinh viên điểm &lt;7</vt:lpstr>
      <vt:lpstr>Sinh viên điểm &gt;=7</vt:lpstr>
      <vt:lpstr>'Sinh viên điểm &lt;7'!Extract</vt:lpstr>
      <vt:lpstr>'Sinh viên điểm &gt;=7'!Extract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Thanh</dc:creator>
  <cp:lastModifiedBy>Dat Thanh</cp:lastModifiedBy>
  <dcterms:created xsi:type="dcterms:W3CDTF">2026-09-23T06:46:51Z</dcterms:created>
  <dcterms:modified xsi:type="dcterms:W3CDTF">2026-09-23T17:11:00Z</dcterms:modified>
</cp:coreProperties>
</file>